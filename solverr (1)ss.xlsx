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D29848060E0FB8D4/Cinema/"/>
    </mc:Choice>
  </mc:AlternateContent>
  <xr:revisionPtr revIDLastSave="0" documentId="8_{8247D94F-FEF8-4AB8-964F-16B418CCBD1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1" i="1" l="1"/>
  <c r="D18" i="1"/>
  <c r="E18" i="1"/>
  <c r="F18" i="1"/>
  <c r="G18" i="1"/>
  <c r="H18" i="1"/>
  <c r="D19" i="1"/>
  <c r="E19" i="1"/>
  <c r="F19" i="1"/>
  <c r="G19" i="1"/>
  <c r="H19" i="1"/>
  <c r="D20" i="1"/>
  <c r="E20" i="1"/>
  <c r="F20" i="1"/>
  <c r="G20" i="1"/>
  <c r="H20" i="1"/>
  <c r="D21" i="1"/>
  <c r="F21" i="1"/>
  <c r="G21" i="1"/>
</calcChain>
</file>

<file path=xl/sharedStrings.xml><?xml version="1.0" encoding="utf-8"?>
<sst xmlns="http://schemas.openxmlformats.org/spreadsheetml/2006/main" count="5" uniqueCount="5">
  <si>
    <t>COMPONENT</t>
  </si>
  <si>
    <t>NITROGEN</t>
  </si>
  <si>
    <t>AMMONIA</t>
  </si>
  <si>
    <t>HYDROGEN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</si>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</sst>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/>
    <xf numFmtId="0" fontId="1" fillId="0" borderId="0" xfId="0" applyFont="1" applyAlignment="1">
      <alignment horizontal="center"/>
    </xf>
    <xf numFmtId="0" fontId="0" fillId="0" borderId="3" xfId="0" applyBorder="1" applyAlignment="1">
      <alignment horizontal="center"/>
    </xf>
    <xf numFmtId="0" fontId="1" fillId="0" borderId="1" xfId="0" applyFont="1" applyBorder="1"/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7:I33"/>
  <sheetViews>
    <sheetView tabSelected="1" topLeftCell="A5" zoomScale="119" zoomScaleNormal="100" workbookViewId="0">
      <selection activeCell="G32" sqref="G32"/>
    </sheetView>
  </sheetViews>
  <sheetFormatPr defaultRowHeight="14.4" x14ac:dyDescent="0.3"/>
  <cols>
    <col min="2" max="2" width="14.33203125" customWidth="1"/>
    <col min="3" max="3" width="24" customWidth="1"/>
    <col min="6" max="6" width="10.88671875" customWidth="1"/>
    <col min="7" max="7" width="12.5546875" customWidth="1"/>
    <col min="9" max="9" width="15.5546875" customWidth="1"/>
  </cols>
  <sheetData>
    <row r="7" spans="2:9" x14ac:dyDescent="0.3">
      <c r="B7" s="1"/>
      <c r="E7" s="1"/>
      <c r="H7" s="1"/>
    </row>
    <row r="8" spans="2:9" x14ac:dyDescent="0.3">
      <c r="G8" s="2"/>
    </row>
    <row r="12" spans="2:9" x14ac:dyDescent="0.3">
      <c r="I12" s="1"/>
    </row>
    <row r="17" spans="2:9" x14ac:dyDescent="0.3">
      <c r="B17" s="3" t="s">
        <v>0</v>
      </c>
      <c r="C17" s="3">
        <v>1</v>
      </c>
      <c r="D17" s="3">
        <v>2</v>
      </c>
      <c r="E17" s="3">
        <v>3</v>
      </c>
      <c r="F17" s="3">
        <v>4</v>
      </c>
      <c r="G17" s="5">
        <v>5</v>
      </c>
      <c r="H17" s="3">
        <v>6</v>
      </c>
      <c r="I17" s="8"/>
    </row>
    <row r="18" spans="2:9" x14ac:dyDescent="0.3">
      <c r="B18" s="3" t="s">
        <v>3</v>
      </c>
      <c r="C18" s="4">
        <v>300</v>
      </c>
      <c r="D18" s="4">
        <f ca="1">C18+H18</f>
        <v>1182.2660098522165</v>
      </c>
      <c r="E18" s="4">
        <f ca="1">-0.25*D18</f>
        <v>-295.56650246305412</v>
      </c>
      <c r="F18" s="4">
        <f ca="1">D18+E18</f>
        <v>886.69950738916236</v>
      </c>
      <c r="G18" s="6">
        <f ca="1">0.005*F18</f>
        <v>4.4334975369458123</v>
      </c>
      <c r="H18" s="4">
        <f ca="1">F18-G18</f>
        <v>882.2660098522166</v>
      </c>
      <c r="I18" s="1"/>
    </row>
    <row r="19" spans="2:9" x14ac:dyDescent="0.3">
      <c r="B19" s="3" t="s">
        <v>1</v>
      </c>
      <c r="C19" s="4">
        <v>100</v>
      </c>
      <c r="D19" s="4">
        <f ca="1">C19+H19</f>
        <v>394.08866732266551</v>
      </c>
      <c r="E19" s="4">
        <f ca="1">-0.25*D19</f>
        <v>-98.522166830666379</v>
      </c>
      <c r="F19" s="4">
        <f ca="1">D19+E19</f>
        <v>295.56650049199914</v>
      </c>
      <c r="G19" s="6">
        <f ca="1">0.005*F19</f>
        <v>1.4778325024599956</v>
      </c>
      <c r="H19" s="4">
        <f ca="1">F19-G19</f>
        <v>294.08866798953915</v>
      </c>
      <c r="I19" s="1"/>
    </row>
    <row r="20" spans="2:9" x14ac:dyDescent="0.3">
      <c r="B20" s="3" t="s">
        <v>2</v>
      </c>
      <c r="C20" s="4">
        <v>0</v>
      </c>
      <c r="D20" s="4">
        <f ca="1">C20+H20</f>
        <v>4.0213129224941042</v>
      </c>
      <c r="E20" s="4">
        <f ca="1">-2*E19</f>
        <v>197.04433366133276</v>
      </c>
      <c r="F20" s="4">
        <f ca="1">D20+E20</f>
        <v>201.06564658382686</v>
      </c>
      <c r="G20" s="6">
        <f ca="1">0.98*F20</f>
        <v>197.04433365215033</v>
      </c>
      <c r="H20" s="4">
        <f ca="1">F20-G20</f>
        <v>4.0213129316765333</v>
      </c>
      <c r="I20" s="1"/>
    </row>
    <row r="21" spans="2:9" x14ac:dyDescent="0.3">
      <c r="B21" s="3" t="s">
        <v>4</v>
      </c>
      <c r="C21" s="4">
        <f>C18+C19+C20</f>
        <v>400</v>
      </c>
      <c r="D21" s="4">
        <f ca="1">D18+D19+D20</f>
        <v>1580.3759900973762</v>
      </c>
      <c r="E21" s="4"/>
      <c r="F21" s="4">
        <f ca="1">F18+F19+F20</f>
        <v>1383.3316544649883</v>
      </c>
      <c r="G21" s="6">
        <f ca="1">G18+G19+G20</f>
        <v>202.95566369155614</v>
      </c>
      <c r="H21" s="4"/>
      <c r="I21" s="1"/>
    </row>
    <row r="22" spans="2:9" x14ac:dyDescent="0.3">
      <c r="B22" s="11"/>
      <c r="C22" s="9"/>
      <c r="D22" s="9"/>
      <c r="E22" s="9"/>
      <c r="F22" s="9"/>
      <c r="G22" s="9"/>
      <c r="H22" s="9"/>
      <c r="I22" s="1"/>
    </row>
    <row r="23" spans="2:9" x14ac:dyDescent="0.3">
      <c r="B23" s="8"/>
      <c r="C23" s="1"/>
      <c r="D23" s="1"/>
      <c r="E23" s="1"/>
      <c r="F23" s="1"/>
      <c r="G23" s="1"/>
      <c r="H23" s="1"/>
      <c r="I23" s="1"/>
    </row>
    <row r="24" spans="2:9" x14ac:dyDescent="0.3">
      <c r="B24" s="1"/>
      <c r="C24" s="1"/>
      <c r="D24" s="1"/>
      <c r="E24" s="1"/>
      <c r="F24" s="1"/>
      <c r="G24" s="1"/>
      <c r="H24" s="1"/>
      <c r="I24" s="1"/>
    </row>
    <row r="26" spans="2:9" x14ac:dyDescent="0.3">
      <c r="B26" s="8"/>
      <c r="C26" s="1"/>
    </row>
    <row r="29" spans="2:9" x14ac:dyDescent="0.3">
      <c r="B29" s="3"/>
      <c r="C29" s="3"/>
      <c r="D29" s="3"/>
      <c r="E29" s="3"/>
      <c r="F29" s="3"/>
      <c r="G29" s="5"/>
      <c r="H29" s="3"/>
      <c r="I29" s="10"/>
    </row>
    <row r="30" spans="2:9" x14ac:dyDescent="0.3">
      <c r="B30" s="3"/>
      <c r="C30" s="4"/>
      <c r="D30" s="7"/>
      <c r="E30" s="7"/>
      <c r="F30" s="7"/>
      <c r="G30" s="7"/>
      <c r="H30" s="7"/>
      <c r="I30" s="7"/>
    </row>
    <row r="31" spans="2:9" x14ac:dyDescent="0.3">
      <c r="B31" s="3"/>
      <c r="C31" s="4"/>
      <c r="D31" s="7"/>
      <c r="E31" s="7"/>
      <c r="F31" s="7"/>
      <c r="G31" s="7"/>
      <c r="H31" s="7"/>
      <c r="I31" s="7"/>
    </row>
    <row r="32" spans="2:9" x14ac:dyDescent="0.3">
      <c r="B32" s="3"/>
      <c r="C32" s="4"/>
      <c r="D32" s="7"/>
      <c r="E32" s="7"/>
      <c r="F32" s="7"/>
      <c r="G32" s="7"/>
      <c r="H32" s="7"/>
      <c r="I32" s="7"/>
    </row>
    <row r="33" spans="2:9" x14ac:dyDescent="0.3">
      <c r="B33" s="3"/>
      <c r="C33" s="4"/>
      <c r="D33" s="7"/>
      <c r="E33" s="7"/>
      <c r="F33" s="7"/>
      <c r="G33" s="7"/>
      <c r="H33" s="7"/>
      <c r="I33" s="7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sujan poojary</cp:lastModifiedBy>
  <dcterms:created xsi:type="dcterms:W3CDTF">2023-12-13T05:59:08Z</dcterms:created>
  <dcterms:modified xsi:type="dcterms:W3CDTF">2026-01-22T15:25:46Z</dcterms:modified>
</cp:coreProperties>
</file>