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D29848060E0FB8D4/Documents/"/>
    </mc:Choice>
  </mc:AlternateContent>
  <xr:revisionPtr revIDLastSave="0" documentId="8_{351A1023-9526-4807-A3B5-73E00CCA5F9B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D101 - Benzene" sheetId="1" r:id="rId1"/>
    <sheet name="D102 - Tolue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7" i="2"/>
  <c r="J8" i="2"/>
  <c r="J9" i="2"/>
  <c r="J10" i="2"/>
  <c r="J11" i="2"/>
  <c r="J12" i="2"/>
  <c r="J13" i="2"/>
  <c r="J14" i="2"/>
  <c r="J15" i="2"/>
  <c r="J5" i="2"/>
  <c r="D6" i="2"/>
  <c r="D7" i="2"/>
  <c r="D8" i="2"/>
  <c r="D9" i="2"/>
  <c r="D10" i="2"/>
  <c r="D11" i="2"/>
  <c r="D12" i="2"/>
  <c r="D5" i="2"/>
  <c r="J6" i="1"/>
  <c r="J7" i="1"/>
  <c r="J8" i="1"/>
  <c r="J9" i="1"/>
  <c r="J10" i="1"/>
  <c r="J11" i="1"/>
  <c r="J12" i="1"/>
  <c r="J13" i="1"/>
  <c r="J14" i="1"/>
  <c r="J15" i="1"/>
  <c r="J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5" i="1"/>
</calcChain>
</file>

<file path=xl/sharedStrings.xml><?xml version="1.0" encoding="utf-8"?>
<sst xmlns="http://schemas.openxmlformats.org/spreadsheetml/2006/main" count="70" uniqueCount="15">
  <si>
    <t>D101 | BENZENE SEPARATION</t>
  </si>
  <si>
    <t>Varying Reflux Ratio (R) | T = 126 °C</t>
  </si>
  <si>
    <t>Temp (°C)</t>
  </si>
  <si>
    <t>Distil Flow (kmol/hr)</t>
  </si>
  <si>
    <t>Benz Composition</t>
  </si>
  <si>
    <t>Benz Amount (kmol/hr)</t>
  </si>
  <si>
    <t>Unit</t>
  </si>
  <si>
    <t>R</t>
  </si>
  <si>
    <t>kmol/hr</t>
  </si>
  <si>
    <t>D102 | TOLUENE SEPARATION</t>
  </si>
  <si>
    <t>Varying Temperature | R Fixed</t>
  </si>
  <si>
    <t>Varying Reflux Ratio (R) | T = 142 °C</t>
  </si>
  <si>
    <t>Tol Flow (kmol/hr)</t>
  </si>
  <si>
    <t>Tol Composition</t>
  </si>
  <si>
    <t>Tol Amount (kmol/hr)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</si>
</sst>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0"/>
    <numFmt numFmtId="166" formatCode="0.0"/>
  </numFmts>
  <fonts count="4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opLeftCell="C1" workbookViewId="0">
      <selection activeCell="J19" sqref="J19"/>
    </sheetView>
  </sheetViews>
  <sheetFormatPr defaultRowHeight="14.45"/>
  <cols>
    <col min="1" max="1" width="12" customWidth="1"/>
    <col min="2" max="2" width="22" customWidth="1"/>
    <col min="3" max="3" width="20" customWidth="1"/>
    <col min="4" max="4" width="24" customWidth="1"/>
    <col min="5" max="5" width="12" customWidth="1"/>
    <col min="6" max="6" width="3" customWidth="1"/>
    <col min="7" max="7" width="8" customWidth="1"/>
    <col min="8" max="8" width="22" customWidth="1"/>
    <col min="9" max="9" width="20" customWidth="1"/>
    <col min="10" max="10" width="24" customWidth="1"/>
    <col min="11" max="11" width="12" customWidth="1"/>
  </cols>
  <sheetData>
    <row r="1" spans="1:11" ht="19.899999999999999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>
      <c r="A3" s="10" t="s">
        <v>1</v>
      </c>
      <c r="B3" s="9"/>
      <c r="C3" s="9"/>
      <c r="D3" s="9"/>
      <c r="E3" s="9"/>
      <c r="F3" s="7"/>
      <c r="G3" s="10" t="s">
        <v>1</v>
      </c>
      <c r="H3" s="9"/>
      <c r="I3" s="9"/>
      <c r="J3" s="9"/>
      <c r="K3" s="9"/>
    </row>
    <row r="4" spans="1:1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7"/>
      <c r="G4" s="1" t="s">
        <v>7</v>
      </c>
      <c r="H4" s="1" t="s">
        <v>3</v>
      </c>
      <c r="I4" s="1" t="s">
        <v>4</v>
      </c>
      <c r="J4" s="1" t="s">
        <v>5</v>
      </c>
      <c r="K4" s="1" t="s">
        <v>6</v>
      </c>
    </row>
    <row r="5" spans="1:11">
      <c r="A5" s="2">
        <v>118</v>
      </c>
      <c r="B5" s="3">
        <v>22.42</v>
      </c>
      <c r="C5" s="4">
        <v>0.99150000000000005</v>
      </c>
      <c r="D5" s="5">
        <f>B5*C5</f>
        <v>22.229430000000004</v>
      </c>
      <c r="E5" s="2" t="s">
        <v>8</v>
      </c>
      <c r="F5" s="7"/>
      <c r="G5" s="6">
        <v>1.5</v>
      </c>
      <c r="H5" s="3">
        <v>132.80000000000001</v>
      </c>
      <c r="I5" s="4">
        <v>0.97</v>
      </c>
      <c r="J5" s="5">
        <f>H5*I5</f>
        <v>128.816</v>
      </c>
      <c r="K5" s="2" t="s">
        <v>8</v>
      </c>
    </row>
    <row r="6" spans="1:11">
      <c r="A6" s="2">
        <v>119</v>
      </c>
      <c r="B6" s="3">
        <v>38.409999999999997</v>
      </c>
      <c r="C6" s="4">
        <v>0.99170000000000003</v>
      </c>
      <c r="D6" s="5">
        <f t="shared" ref="D6:D18" si="0">B6*C6</f>
        <v>38.091197000000001</v>
      </c>
      <c r="E6" s="2" t="s">
        <v>8</v>
      </c>
      <c r="F6" s="7"/>
      <c r="G6" s="6">
        <v>1.6</v>
      </c>
      <c r="H6" s="3">
        <v>132.5</v>
      </c>
      <c r="I6" s="4">
        <v>0.9748</v>
      </c>
      <c r="J6" s="5">
        <f t="shared" ref="J6:J15" si="1">H6*I6</f>
        <v>129.161</v>
      </c>
      <c r="K6" s="2" t="s">
        <v>8</v>
      </c>
    </row>
    <row r="7" spans="1:11">
      <c r="A7" s="2">
        <v>120</v>
      </c>
      <c r="B7" s="3">
        <v>53.58</v>
      </c>
      <c r="C7" s="4">
        <v>0.9919</v>
      </c>
      <c r="D7" s="5">
        <f t="shared" si="0"/>
        <v>53.146001999999996</v>
      </c>
      <c r="E7" s="2" t="s">
        <v>8</v>
      </c>
      <c r="F7" s="7"/>
      <c r="G7" s="6">
        <v>1.7</v>
      </c>
      <c r="H7" s="3">
        <v>131.9</v>
      </c>
      <c r="I7" s="4">
        <v>0.97889999999999999</v>
      </c>
      <c r="J7" s="5">
        <f t="shared" si="1"/>
        <v>129.11691000000002</v>
      </c>
      <c r="K7" s="2" t="s">
        <v>8</v>
      </c>
    </row>
    <row r="8" spans="1:11">
      <c r="A8" s="2">
        <v>121</v>
      </c>
      <c r="B8" s="3">
        <v>67.959999999999994</v>
      </c>
      <c r="C8" s="4">
        <v>0.99209999999999998</v>
      </c>
      <c r="D8" s="5">
        <f t="shared" si="0"/>
        <v>67.423115999999993</v>
      </c>
      <c r="E8" s="2" t="s">
        <v>8</v>
      </c>
      <c r="F8" s="7"/>
      <c r="G8" s="6">
        <v>1.8</v>
      </c>
      <c r="H8" s="3">
        <v>131.5</v>
      </c>
      <c r="I8" s="4">
        <v>0.98199999999999998</v>
      </c>
      <c r="J8" s="5">
        <f t="shared" si="1"/>
        <v>129.13300000000001</v>
      </c>
      <c r="K8" s="2" t="s">
        <v>8</v>
      </c>
    </row>
    <row r="9" spans="1:11">
      <c r="A9" s="2">
        <v>122</v>
      </c>
      <c r="B9" s="3">
        <v>81.67</v>
      </c>
      <c r="C9" s="4">
        <v>0.99219999999999997</v>
      </c>
      <c r="D9" s="5">
        <f t="shared" si="0"/>
        <v>81.032973999999996</v>
      </c>
      <c r="E9" s="2" t="s">
        <v>8</v>
      </c>
      <c r="F9" s="7"/>
      <c r="G9" s="6">
        <v>1.9</v>
      </c>
      <c r="H9" s="3">
        <v>131.19999999999999</v>
      </c>
      <c r="I9" s="4">
        <v>0.98440000000000005</v>
      </c>
      <c r="J9" s="5">
        <f t="shared" si="1"/>
        <v>129.15328</v>
      </c>
      <c r="K9" s="2" t="s">
        <v>8</v>
      </c>
    </row>
    <row r="10" spans="1:11">
      <c r="A10" s="2">
        <v>123</v>
      </c>
      <c r="B10" s="3">
        <v>94.7</v>
      </c>
      <c r="C10" s="4">
        <v>0.99229999999999996</v>
      </c>
      <c r="D10" s="5">
        <f t="shared" si="0"/>
        <v>93.97081</v>
      </c>
      <c r="E10" s="2" t="s">
        <v>8</v>
      </c>
      <c r="F10" s="7"/>
      <c r="G10" s="6">
        <v>2</v>
      </c>
      <c r="H10" s="3">
        <v>131.19999999999999</v>
      </c>
      <c r="I10" s="4">
        <v>0.98629999999999995</v>
      </c>
      <c r="J10" s="5">
        <f t="shared" si="1"/>
        <v>129.40255999999999</v>
      </c>
      <c r="K10" s="2" t="s">
        <v>8</v>
      </c>
    </row>
    <row r="11" spans="1:11">
      <c r="A11" s="2">
        <v>124</v>
      </c>
      <c r="B11" s="3">
        <v>107.1</v>
      </c>
      <c r="C11" s="4">
        <v>0.99219999999999997</v>
      </c>
      <c r="D11" s="5">
        <f t="shared" si="0"/>
        <v>106.26461999999999</v>
      </c>
      <c r="E11" s="2" t="s">
        <v>8</v>
      </c>
      <c r="F11" s="7"/>
      <c r="G11" s="6">
        <v>2.1</v>
      </c>
      <c r="H11" s="3">
        <v>130.80000000000001</v>
      </c>
      <c r="I11" s="4">
        <v>0.9879</v>
      </c>
      <c r="J11" s="5">
        <f t="shared" si="1"/>
        <v>129.21732</v>
      </c>
      <c r="K11" s="2" t="s">
        <v>8</v>
      </c>
    </row>
    <row r="12" spans="1:11">
      <c r="A12" s="2">
        <v>125</v>
      </c>
      <c r="B12" s="3">
        <v>119</v>
      </c>
      <c r="C12" s="4">
        <v>0.99219999999999997</v>
      </c>
      <c r="D12" s="5">
        <f t="shared" si="0"/>
        <v>118.0718</v>
      </c>
      <c r="E12" s="2" t="s">
        <v>8</v>
      </c>
      <c r="F12" s="7"/>
      <c r="G12" s="6">
        <v>2.2000000000000002</v>
      </c>
      <c r="H12" s="3">
        <v>130.69999999999999</v>
      </c>
      <c r="I12" s="4">
        <v>0.98919999999999997</v>
      </c>
      <c r="J12" s="5">
        <f t="shared" si="1"/>
        <v>129.28843999999998</v>
      </c>
      <c r="K12" s="2" t="s">
        <v>8</v>
      </c>
    </row>
    <row r="13" spans="1:11">
      <c r="A13" s="2">
        <v>126</v>
      </c>
      <c r="B13" s="3">
        <v>130.30000000000001</v>
      </c>
      <c r="C13" s="4">
        <v>0.99199999999999999</v>
      </c>
      <c r="D13" s="5">
        <f t="shared" si="0"/>
        <v>129.2576</v>
      </c>
      <c r="E13" s="2" t="s">
        <v>8</v>
      </c>
      <c r="F13" s="7"/>
      <c r="G13" s="6">
        <v>2.2999999999999998</v>
      </c>
      <c r="H13" s="3">
        <v>130.6</v>
      </c>
      <c r="I13" s="4">
        <v>0.99029999999999996</v>
      </c>
      <c r="J13" s="5">
        <f t="shared" si="1"/>
        <v>129.33318</v>
      </c>
      <c r="K13" s="2" t="s">
        <v>8</v>
      </c>
    </row>
    <row r="14" spans="1:11">
      <c r="A14" s="2">
        <v>127</v>
      </c>
      <c r="B14" s="3">
        <v>141.30000000000001</v>
      </c>
      <c r="C14" s="4">
        <v>0.99160000000000004</v>
      </c>
      <c r="D14" s="5">
        <f t="shared" si="0"/>
        <v>140.11308000000002</v>
      </c>
      <c r="E14" s="2" t="s">
        <v>8</v>
      </c>
      <c r="F14" s="7"/>
      <c r="G14" s="6">
        <v>2.4</v>
      </c>
      <c r="H14" s="3">
        <v>130.4</v>
      </c>
      <c r="I14" s="4">
        <v>0.99119999999999997</v>
      </c>
      <c r="J14" s="5">
        <f t="shared" si="1"/>
        <v>129.25247999999999</v>
      </c>
      <c r="K14" s="2" t="s">
        <v>8</v>
      </c>
    </row>
    <row r="15" spans="1:11">
      <c r="A15" s="2">
        <v>128</v>
      </c>
      <c r="B15" s="3">
        <v>151.6</v>
      </c>
      <c r="C15" s="4">
        <v>0.99109999999999998</v>
      </c>
      <c r="D15" s="5">
        <f t="shared" si="0"/>
        <v>150.25075999999999</v>
      </c>
      <c r="E15" s="2" t="s">
        <v>8</v>
      </c>
      <c r="F15" s="7"/>
      <c r="G15" s="6">
        <v>2.5</v>
      </c>
      <c r="H15" s="3">
        <v>130.4</v>
      </c>
      <c r="I15" s="4">
        <v>0.99199999999999999</v>
      </c>
      <c r="J15" s="5">
        <f t="shared" si="1"/>
        <v>129.35679999999999</v>
      </c>
      <c r="K15" s="2" t="s">
        <v>8</v>
      </c>
    </row>
    <row r="16" spans="1:11">
      <c r="A16" s="2">
        <v>130</v>
      </c>
      <c r="B16" s="3">
        <v>171.7</v>
      </c>
      <c r="C16" s="4">
        <v>0.98829999999999996</v>
      </c>
      <c r="D16" s="5">
        <f t="shared" si="0"/>
        <v>169.69110999999998</v>
      </c>
      <c r="E16" s="2" t="s">
        <v>8</v>
      </c>
      <c r="F16" s="7"/>
      <c r="G16" s="7"/>
      <c r="H16" s="7"/>
      <c r="I16" s="7"/>
      <c r="J16" s="7"/>
      <c r="K16" s="7"/>
    </row>
    <row r="17" spans="1:5">
      <c r="A17" s="2">
        <v>132</v>
      </c>
      <c r="B17" s="3">
        <v>192</v>
      </c>
      <c r="C17" s="4">
        <v>0.97319999999999995</v>
      </c>
      <c r="D17" s="5">
        <f t="shared" si="0"/>
        <v>186.8544</v>
      </c>
      <c r="E17" s="2" t="s">
        <v>8</v>
      </c>
    </row>
    <row r="18" spans="1:5">
      <c r="A18" s="2">
        <v>135</v>
      </c>
      <c r="B18" s="3">
        <v>255.8</v>
      </c>
      <c r="C18" s="4">
        <v>0.77349999999999997</v>
      </c>
      <c r="D18" s="5">
        <f t="shared" si="0"/>
        <v>197.8613</v>
      </c>
      <c r="E18" s="2" t="s">
        <v>8</v>
      </c>
    </row>
  </sheetData>
  <mergeCells count="3">
    <mergeCell ref="G3:K3"/>
    <mergeCell ref="A1:K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topLeftCell="B1" workbookViewId="0">
      <selection activeCell="I24" sqref="I24"/>
    </sheetView>
  </sheetViews>
  <sheetFormatPr defaultRowHeight="14.45"/>
  <cols>
    <col min="1" max="1" width="12" customWidth="1"/>
    <col min="2" max="2" width="22" customWidth="1"/>
    <col min="3" max="3" width="20" customWidth="1"/>
    <col min="4" max="4" width="24" customWidth="1"/>
    <col min="5" max="5" width="12" customWidth="1"/>
    <col min="6" max="6" width="3" customWidth="1"/>
    <col min="7" max="7" width="8" customWidth="1"/>
    <col min="8" max="8" width="22" customWidth="1"/>
    <col min="9" max="9" width="20" customWidth="1"/>
    <col min="10" max="10" width="24" customWidth="1"/>
    <col min="11" max="11" width="12" customWidth="1"/>
  </cols>
  <sheetData>
    <row r="1" spans="1:11" ht="19.899999999999999" customHeight="1">
      <c r="A1" s="8" t="s">
        <v>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>
      <c r="A3" s="10" t="s">
        <v>10</v>
      </c>
      <c r="B3" s="9"/>
      <c r="C3" s="9"/>
      <c r="D3" s="9"/>
      <c r="E3" s="9"/>
      <c r="F3" s="7"/>
      <c r="G3" s="10" t="s">
        <v>11</v>
      </c>
      <c r="H3" s="9"/>
      <c r="I3" s="9"/>
      <c r="J3" s="9"/>
      <c r="K3" s="9"/>
    </row>
    <row r="4" spans="1:11">
      <c r="A4" s="1" t="s">
        <v>2</v>
      </c>
      <c r="B4" s="1" t="s">
        <v>12</v>
      </c>
      <c r="C4" s="1" t="s">
        <v>13</v>
      </c>
      <c r="D4" s="1" t="s">
        <v>14</v>
      </c>
      <c r="E4" s="1" t="s">
        <v>6</v>
      </c>
      <c r="F4" s="7"/>
      <c r="G4" s="1" t="s">
        <v>7</v>
      </c>
      <c r="H4" s="1" t="s">
        <v>12</v>
      </c>
      <c r="I4" s="1" t="s">
        <v>13</v>
      </c>
      <c r="J4" s="1" t="s">
        <v>14</v>
      </c>
      <c r="K4" s="1" t="s">
        <v>6</v>
      </c>
    </row>
    <row r="5" spans="1:11">
      <c r="A5" s="2">
        <v>130</v>
      </c>
      <c r="B5" s="3">
        <v>10.74</v>
      </c>
      <c r="C5" s="4">
        <v>0.34329999999999999</v>
      </c>
      <c r="D5" s="5">
        <f>B5*C5</f>
        <v>3.6870419999999999</v>
      </c>
      <c r="E5" s="2" t="s">
        <v>8</v>
      </c>
      <c r="F5" s="7"/>
      <c r="G5" s="6">
        <v>1.5</v>
      </c>
      <c r="H5" s="3">
        <v>280.8</v>
      </c>
      <c r="I5" s="4">
        <v>0.50929999999999997</v>
      </c>
      <c r="J5" s="5">
        <f>H5*I5</f>
        <v>143.01143999999999</v>
      </c>
      <c r="K5" s="2" t="s">
        <v>8</v>
      </c>
    </row>
    <row r="6" spans="1:11">
      <c r="A6" s="2">
        <v>132</v>
      </c>
      <c r="B6" s="3">
        <v>41.29</v>
      </c>
      <c r="C6" s="4">
        <v>0.34379999999999999</v>
      </c>
      <c r="D6" s="5">
        <f t="shared" ref="D6:D12" si="0">B6*C6</f>
        <v>14.195501999999999</v>
      </c>
      <c r="E6" s="2" t="s">
        <v>8</v>
      </c>
      <c r="F6" s="7"/>
      <c r="G6" s="6">
        <v>1.6</v>
      </c>
      <c r="H6" s="3">
        <v>274.8</v>
      </c>
      <c r="I6" s="4">
        <v>0.5181</v>
      </c>
      <c r="J6" s="5">
        <f t="shared" ref="J6:J15" si="1">H6*I6</f>
        <v>142.37388000000001</v>
      </c>
      <c r="K6" s="2" t="s">
        <v>8</v>
      </c>
    </row>
    <row r="7" spans="1:11">
      <c r="A7" s="2">
        <v>134</v>
      </c>
      <c r="B7" s="3">
        <v>68.97</v>
      </c>
      <c r="C7" s="4">
        <v>0.3478</v>
      </c>
      <c r="D7" s="5">
        <f t="shared" si="0"/>
        <v>23.987766000000001</v>
      </c>
      <c r="E7" s="2" t="s">
        <v>8</v>
      </c>
      <c r="F7" s="7"/>
      <c r="G7" s="6">
        <v>1.7</v>
      </c>
      <c r="H7" s="3">
        <v>269.5</v>
      </c>
      <c r="I7" s="4">
        <v>0.52639999999999998</v>
      </c>
      <c r="J7" s="5">
        <f t="shared" si="1"/>
        <v>141.8648</v>
      </c>
      <c r="K7" s="2" t="s">
        <v>8</v>
      </c>
    </row>
    <row r="8" spans="1:11">
      <c r="A8" s="2">
        <v>136</v>
      </c>
      <c r="B8" s="3">
        <v>96.44</v>
      </c>
      <c r="C8" s="4">
        <v>0.57989999999999997</v>
      </c>
      <c r="D8" s="5">
        <f t="shared" si="0"/>
        <v>55.925555999999993</v>
      </c>
      <c r="E8" s="2" t="s">
        <v>8</v>
      </c>
      <c r="F8" s="7"/>
      <c r="G8" s="6">
        <v>1.8</v>
      </c>
      <c r="H8" s="3">
        <v>264.60000000000002</v>
      </c>
      <c r="I8" s="4">
        <v>0.53439999999999999</v>
      </c>
      <c r="J8" s="5">
        <f t="shared" si="1"/>
        <v>141.40224000000001</v>
      </c>
      <c r="K8" s="2" t="s">
        <v>8</v>
      </c>
    </row>
    <row r="9" spans="1:11">
      <c r="A9" s="2">
        <v>138</v>
      </c>
      <c r="B9" s="3">
        <v>131.80000000000001</v>
      </c>
      <c r="C9" s="4">
        <v>0.43130000000000002</v>
      </c>
      <c r="D9" s="5">
        <f t="shared" si="0"/>
        <v>56.845340000000007</v>
      </c>
      <c r="E9" s="2" t="s">
        <v>8</v>
      </c>
      <c r="F9" s="7"/>
      <c r="G9" s="6">
        <v>1.9</v>
      </c>
      <c r="H9" s="3">
        <v>260.10000000000002</v>
      </c>
      <c r="I9" s="4">
        <v>0.54190000000000005</v>
      </c>
      <c r="J9" s="5">
        <f t="shared" si="1"/>
        <v>140.94819000000001</v>
      </c>
      <c r="K9" s="2" t="s">
        <v>8</v>
      </c>
    </row>
    <row r="10" spans="1:11">
      <c r="A10" s="2">
        <v>140</v>
      </c>
      <c r="B10" s="3">
        <v>183.7</v>
      </c>
      <c r="C10" s="4">
        <v>0.52529999999999999</v>
      </c>
      <c r="D10" s="5">
        <f t="shared" si="0"/>
        <v>96.497609999999995</v>
      </c>
      <c r="E10" s="2" t="s">
        <v>8</v>
      </c>
      <c r="F10" s="7"/>
      <c r="G10" s="6">
        <v>2</v>
      </c>
      <c r="H10" s="3">
        <v>256</v>
      </c>
      <c r="I10" s="4">
        <v>0.54900000000000004</v>
      </c>
      <c r="J10" s="5">
        <f t="shared" si="1"/>
        <v>140.54400000000001</v>
      </c>
      <c r="K10" s="2" t="s">
        <v>8</v>
      </c>
    </row>
    <row r="11" spans="1:11">
      <c r="A11" s="2">
        <v>142</v>
      </c>
      <c r="B11" s="3">
        <v>240.1</v>
      </c>
      <c r="C11" s="4">
        <v>0.57840000000000003</v>
      </c>
      <c r="D11" s="5">
        <f t="shared" si="0"/>
        <v>138.87384</v>
      </c>
      <c r="E11" s="2" t="s">
        <v>8</v>
      </c>
      <c r="F11" s="7"/>
      <c r="G11" s="6">
        <v>2.1</v>
      </c>
      <c r="H11" s="3">
        <v>252.3</v>
      </c>
      <c r="I11" s="4">
        <v>0.55569999999999997</v>
      </c>
      <c r="J11" s="5">
        <f t="shared" si="1"/>
        <v>140.20311000000001</v>
      </c>
      <c r="K11" s="2" t="s">
        <v>8</v>
      </c>
    </row>
    <row r="12" spans="1:11">
      <c r="A12" s="2">
        <v>144</v>
      </c>
      <c r="B12" s="3">
        <v>309.8</v>
      </c>
      <c r="C12" s="4">
        <v>0.56769999999999998</v>
      </c>
      <c r="D12" s="5">
        <f t="shared" si="0"/>
        <v>175.87345999999999</v>
      </c>
      <c r="E12" s="2" t="s">
        <v>8</v>
      </c>
      <c r="F12" s="7"/>
      <c r="G12" s="6">
        <v>2.2000000000000002</v>
      </c>
      <c r="H12" s="3">
        <v>248.8</v>
      </c>
      <c r="I12" s="4">
        <v>0.56200000000000006</v>
      </c>
      <c r="J12" s="5">
        <f t="shared" si="1"/>
        <v>139.82560000000001</v>
      </c>
      <c r="K12" s="2" t="s">
        <v>8</v>
      </c>
    </row>
    <row r="13" spans="1:11">
      <c r="A13" s="7"/>
      <c r="B13" s="7"/>
      <c r="C13" s="7"/>
      <c r="D13" s="7"/>
      <c r="E13" s="7"/>
      <c r="F13" s="7"/>
      <c r="G13" s="6">
        <v>2.2999999999999998</v>
      </c>
      <c r="H13" s="3">
        <v>245.7</v>
      </c>
      <c r="I13" s="4">
        <v>0.56789999999999996</v>
      </c>
      <c r="J13" s="5">
        <f t="shared" si="1"/>
        <v>139.53303</v>
      </c>
      <c r="K13" s="2" t="s">
        <v>8</v>
      </c>
    </row>
    <row r="14" spans="1:11">
      <c r="A14" s="7"/>
      <c r="B14" s="7"/>
      <c r="C14" s="7"/>
      <c r="D14" s="7"/>
      <c r="E14" s="7"/>
      <c r="F14" s="7"/>
      <c r="G14" s="6">
        <v>2.4</v>
      </c>
      <c r="H14" s="3">
        <v>242.9</v>
      </c>
      <c r="I14" s="4">
        <v>0.57340000000000002</v>
      </c>
      <c r="J14" s="5">
        <f t="shared" si="1"/>
        <v>139.27886000000001</v>
      </c>
      <c r="K14" s="2" t="s">
        <v>8</v>
      </c>
    </row>
    <row r="15" spans="1:11">
      <c r="A15" s="7"/>
      <c r="B15" s="7"/>
      <c r="C15" s="7"/>
      <c r="D15" s="7"/>
      <c r="E15" s="7"/>
      <c r="F15" s="7"/>
      <c r="G15" s="6">
        <v>2.5</v>
      </c>
      <c r="H15" s="3">
        <v>240.1</v>
      </c>
      <c r="I15" s="4">
        <v>0.57840000000000003</v>
      </c>
      <c r="J15" s="5">
        <f t="shared" si="1"/>
        <v>138.87384</v>
      </c>
      <c r="K15" s="2" t="s">
        <v>8</v>
      </c>
    </row>
  </sheetData>
  <mergeCells count="3">
    <mergeCell ref="G3:K3"/>
    <mergeCell ref="A1:K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2026-05-17T17:17:43Z</dcterms:created>
  <dcterms:modified xsi:type="dcterms:W3CDTF">2026-05-17T17:30:52Z</dcterms:modified>
  <cp:category/>
  <cp:contentStatus/>
</cp:coreProperties>
</file>