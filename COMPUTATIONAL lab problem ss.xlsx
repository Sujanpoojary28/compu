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29848060E0FB8D4/Cinema/"/>
    </mc:Choice>
  </mc:AlternateContent>
  <xr:revisionPtr revIDLastSave="1" documentId="8_{EA34943A-F24D-4BE8-A70A-386734BBCC41}" xr6:coauthVersionLast="47" xr6:coauthVersionMax="47" xr10:uidLastSave="{5F02819E-C2C0-422C-A299-BF9C48B27B45}"/>
  <bookViews>
    <workbookView xWindow="-108" yWindow="-108" windowWidth="23256" windowHeight="13176" xr2:uid="{00000000-000D-0000-FFFF-FFFF00000000}"/>
  </bookViews>
  <sheets>
    <sheet name="RK" sheetId="1" r:id="rId1"/>
    <sheet name="Sheet1" sheetId="6" r:id="rId2"/>
    <sheet name="MASSB" sheetId="5" r:id="rId3"/>
  </sheets>
  <definedNames>
    <definedName name="solver_adj" localSheetId="2" hidden="1">MASSB!$H$21</definedName>
    <definedName name="solver_adj" localSheetId="0" hidden="1">RK!$R$11</definedName>
    <definedName name="solver_cvg" localSheetId="2" hidden="1">0.0001</definedName>
    <definedName name="solver_cvg" localSheetId="0" hidden="1">0.0001</definedName>
    <definedName name="solver_drv" localSheetId="2" hidden="1">1</definedName>
    <definedName name="solver_drv" localSheetId="0" hidden="1">1</definedName>
    <definedName name="solver_eng" localSheetId="2" hidden="1">1</definedName>
    <definedName name="solver_eng" localSheetId="0" hidden="1">1</definedName>
    <definedName name="solver_est" localSheetId="2" hidden="1">1</definedName>
    <definedName name="solver_est" localSheetId="0" hidden="1">1</definedName>
    <definedName name="solver_itr" localSheetId="2" hidden="1">100</definedName>
    <definedName name="solver_itr" localSheetId="0" hidden="1">2147483647</definedName>
    <definedName name="solver_mip" localSheetId="2" hidden="1">2147483647</definedName>
    <definedName name="solver_mip" localSheetId="0" hidden="1">2147483647</definedName>
    <definedName name="solver_mni" localSheetId="2" hidden="1">30</definedName>
    <definedName name="solver_mni" localSheetId="0" hidden="1">30</definedName>
    <definedName name="solver_mrt" localSheetId="2" hidden="1">0.075</definedName>
    <definedName name="solver_mrt" localSheetId="0" hidden="1">0.075</definedName>
    <definedName name="solver_msl" localSheetId="2" hidden="1">2</definedName>
    <definedName name="solver_msl" localSheetId="0" hidden="1">2</definedName>
    <definedName name="solver_neg" localSheetId="2" hidden="1">1</definedName>
    <definedName name="solver_neg" localSheetId="0" hidden="1">1</definedName>
    <definedName name="solver_nod" localSheetId="2" hidden="1">2147483647</definedName>
    <definedName name="solver_nod" localSheetId="0" hidden="1">2147483647</definedName>
    <definedName name="solver_num" localSheetId="2" hidden="1">0</definedName>
    <definedName name="solver_num" localSheetId="0" hidden="1">0</definedName>
    <definedName name="solver_nwt" localSheetId="2" hidden="1">1</definedName>
    <definedName name="solver_nwt" localSheetId="0" hidden="1">1</definedName>
    <definedName name="solver_opt" localSheetId="2" hidden="1">MASSB!$F$29</definedName>
    <definedName name="solver_opt" localSheetId="0" hidden="1">RK!$Q$11</definedName>
    <definedName name="solver_pre" localSheetId="2" hidden="1">0.001</definedName>
    <definedName name="solver_pre" localSheetId="0" hidden="1">0.000001</definedName>
    <definedName name="solver_rbv" localSheetId="2" hidden="1">1</definedName>
    <definedName name="solver_rbv" localSheetId="0" hidden="1">1</definedName>
    <definedName name="solver_rlx" localSheetId="2" hidden="1">2</definedName>
    <definedName name="solver_rlx" localSheetId="0" hidden="1">2</definedName>
    <definedName name="solver_rsd" localSheetId="2" hidden="1">0</definedName>
    <definedName name="solver_rsd" localSheetId="0" hidden="1">0</definedName>
    <definedName name="solver_scl" localSheetId="2" hidden="1">1</definedName>
    <definedName name="solver_scl" localSheetId="0" hidden="1">1</definedName>
    <definedName name="solver_sho" localSheetId="2" hidden="1">2</definedName>
    <definedName name="solver_sho" localSheetId="0" hidden="1">1</definedName>
    <definedName name="solver_ssz" localSheetId="2" hidden="1">100</definedName>
    <definedName name="solver_ssz" localSheetId="0" hidden="1">100</definedName>
    <definedName name="solver_tim" localSheetId="2" hidden="1">2147483647</definedName>
    <definedName name="solver_tim" localSheetId="0" hidden="1">2147483647</definedName>
    <definedName name="solver_tol" localSheetId="2" hidden="1">0.01</definedName>
    <definedName name="solver_tol" localSheetId="0" hidden="1">0.01</definedName>
    <definedName name="solver_typ" localSheetId="2" hidden="1">3</definedName>
    <definedName name="solver_typ" localSheetId="0" hidden="1">3</definedName>
    <definedName name="solver_val" localSheetId="2" hidden="1">0</definedName>
    <definedName name="solver_val" localSheetId="0" hidden="1">0</definedName>
    <definedName name="solver_ver" localSheetId="2" hidden="1">3</definedName>
    <definedName name="solver_ver" localSheetId="0" hidden="1">3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6" i="1" l="1"/>
  <c r="S7" i="1"/>
  <c r="S8" i="1"/>
  <c r="S9" i="1"/>
  <c r="S10" i="1"/>
  <c r="S11" i="1"/>
  <c r="S12" i="1"/>
  <c r="S13" i="1"/>
  <c r="S14" i="1"/>
  <c r="C3" i="6"/>
  <c r="D27" i="5" l="1"/>
  <c r="B15" i="5" l="1"/>
  <c r="S5" i="1" l="1"/>
  <c r="P6" i="1" l="1"/>
  <c r="P7" i="1"/>
  <c r="P8" i="1"/>
  <c r="P9" i="1"/>
  <c r="P10" i="1"/>
  <c r="P11" i="1"/>
  <c r="P12" i="1"/>
  <c r="P13" i="1"/>
  <c r="P14" i="1"/>
  <c r="P5" i="1"/>
  <c r="C13" i="1"/>
  <c r="O6" i="1"/>
  <c r="O7" i="1"/>
  <c r="O8" i="1"/>
  <c r="O9" i="1"/>
  <c r="O10" i="1"/>
  <c r="O11" i="1"/>
  <c r="O12" i="1"/>
  <c r="C12" i="1" s="1"/>
  <c r="C14" i="1" s="1"/>
  <c r="O13" i="1"/>
  <c r="O14" i="1"/>
  <c r="O5" i="1"/>
  <c r="N6" i="1"/>
  <c r="N7" i="1"/>
  <c r="N8" i="1"/>
  <c r="N9" i="1"/>
  <c r="N10" i="1"/>
  <c r="N11" i="1"/>
  <c r="N12" i="1"/>
  <c r="N13" i="1"/>
  <c r="N14" i="1"/>
  <c r="N5" i="1"/>
  <c r="J16" i="1"/>
  <c r="C11" i="1"/>
  <c r="Q5" i="1" l="1"/>
  <c r="Q13" i="1"/>
  <c r="Q11" i="1"/>
  <c r="Q9" i="1"/>
  <c r="Q7" i="1"/>
  <c r="Q14" i="1"/>
  <c r="Q12" i="1"/>
  <c r="Q10" i="1"/>
  <c r="Q8" i="1"/>
  <c r="Q6" i="1"/>
  <c r="E15" i="1"/>
  <c r="C12" i="5"/>
  <c r="D12" i="5"/>
  <c r="E12" i="5"/>
  <c r="F12" i="5"/>
  <c r="G12" i="5"/>
  <c r="C13" i="5"/>
  <c r="D13" i="5"/>
  <c r="E13" i="5"/>
  <c r="F13" i="5"/>
  <c r="G13" i="5"/>
  <c r="C14" i="5"/>
  <c r="D14" i="5"/>
  <c r="E14" i="5"/>
  <c r="F14" i="5"/>
  <c r="G14" i="5"/>
  <c r="C15" i="5"/>
  <c r="E15" i="5"/>
  <c r="F15" i="5"/>
  <c r="E24" i="5"/>
  <c r="F24" i="5"/>
  <c r="G24" i="5"/>
  <c r="H24" i="5"/>
  <c r="I24" i="5"/>
  <c r="J24" i="5"/>
  <c r="E25" i="5"/>
  <c r="F25" i="5"/>
  <c r="G25" i="5"/>
  <c r="H25" i="5"/>
  <c r="I25" i="5"/>
  <c r="J25" i="5"/>
  <c r="E26" i="5"/>
  <c r="F26" i="5"/>
  <c r="G26" i="5"/>
  <c r="H26" i="5"/>
  <c r="I26" i="5"/>
  <c r="J26" i="5"/>
  <c r="E27" i="5"/>
  <c r="G27" i="5"/>
  <c r="H27" i="5"/>
  <c r="J27" i="5"/>
  <c r="F29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abc</author>
  </authors>
  <commentList>
    <comment ref="F29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 xml:space="preserve">BJS:
Goal seek does not work Use Solver. Reduce precision, try with different conversions to converge
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<sst xmlns="http://schemas.openxmlformats.org/spreadsheetml/2006/main" count="65" uniqueCount="50">
  <si>
    <t>REDLICH-KWONG EQUATION</t>
  </si>
  <si>
    <t>N-BUTANE</t>
  </si>
  <si>
    <t xml:space="preserve">TC </t>
  </si>
  <si>
    <t>K</t>
  </si>
  <si>
    <t>PC</t>
  </si>
  <si>
    <t>ATM</t>
  </si>
  <si>
    <t>R</t>
  </si>
  <si>
    <t>L.ATM/GMOL.K</t>
  </si>
  <si>
    <t>DATA</t>
  </si>
  <si>
    <t>T</t>
  </si>
  <si>
    <t>P</t>
  </si>
  <si>
    <t>FORMULA</t>
  </si>
  <si>
    <t>TR</t>
  </si>
  <si>
    <t>RESULT</t>
  </si>
  <si>
    <t>A</t>
  </si>
  <si>
    <t>B</t>
  </si>
  <si>
    <t>F(V)</t>
  </si>
  <si>
    <t>IDEAL GAS VOL</t>
  </si>
  <si>
    <t>VAR</t>
  </si>
  <si>
    <t>PARAMETERS - n-butane</t>
  </si>
  <si>
    <t>Z</t>
  </si>
  <si>
    <t>COMPRESSIBILITY FACTOR FOR A RANGE</t>
  </si>
  <si>
    <t>f(v)</t>
  </si>
  <si>
    <t>COMPONENT</t>
  </si>
  <si>
    <t>HYDROGEN</t>
  </si>
  <si>
    <t>AMMONIA</t>
  </si>
  <si>
    <t>NITROGEN</t>
  </si>
  <si>
    <t>TOTAL</t>
  </si>
  <si>
    <t>N2:H2</t>
  </si>
  <si>
    <t>25% CONVERSION PER PASS IN REACTOR</t>
  </si>
  <si>
    <t>98% AMMONIA REMOVED AS BOTTOM PRODUCT OF SEPARATOR</t>
  </si>
  <si>
    <t>0.5% N2 AND H2 ALSO REMOVED FROM BOTTOM OF SEPARATOR</t>
  </si>
  <si>
    <t>Part 2</t>
  </si>
  <si>
    <t>Part 1</t>
  </si>
  <si>
    <t>Equilibrium conversion</t>
  </si>
  <si>
    <t>H2</t>
  </si>
  <si>
    <t xml:space="preserve">Conversion not specified, </t>
  </si>
  <si>
    <t>=</t>
  </si>
  <si>
    <t>Kp = pNH3/(pN2)^1/2 . (pH2)^3/2</t>
  </si>
  <si>
    <t>yNH3/(yN2)^1/2 . (yH2)^3/2</t>
  </si>
  <si>
    <t>. (1/P)</t>
  </si>
  <si>
    <t>CONV</t>
  </si>
  <si>
    <t>kp</t>
  </si>
  <si>
    <t>MOL FR.</t>
  </si>
  <si>
    <t>Part 3</t>
  </si>
  <si>
    <t xml:space="preserve">VLE constants for Flash separator given  </t>
  </si>
  <si>
    <t>N2</t>
  </si>
  <si>
    <t>NH3</t>
  </si>
  <si>
    <t>Use R-R equation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</si>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</sst>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  <font>
      <b/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" xfId="0" applyBorder="1"/>
    <xf numFmtId="0" fontId="0" fillId="0" borderId="9" xfId="0" applyBorder="1"/>
    <xf numFmtId="20" fontId="0" fillId="0" borderId="0" xfId="0" applyNumberFormat="1"/>
    <xf numFmtId="0" fontId="0" fillId="0" borderId="11" xfId="0" applyBorder="1"/>
    <xf numFmtId="0" fontId="0" fillId="0" borderId="12" xfId="0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0" fillId="0" borderId="8" xfId="0" applyBorder="1"/>
    <xf numFmtId="0" fontId="0" fillId="0" borderId="10" xfId="0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RK!$S$4</c:f>
              <c:strCache>
                <c:ptCount val="1"/>
                <c:pt idx="0">
                  <c:v>Z</c:v>
                </c:pt>
              </c:strCache>
            </c:strRef>
          </c:tx>
          <c:marker>
            <c:symbol val="none"/>
          </c:marker>
          <c:xVal>
            <c:numRef>
              <c:f>RK!$M$5:$M$14</c:f>
              <c:numCache>
                <c:formatCode>General</c:formatCode>
                <c:ptCount val="10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</c:numCache>
            </c:numRef>
          </c:xVal>
          <c:yVal>
            <c:numRef>
              <c:f>RK!$S$5:$S$14</c:f>
              <c:numCache>
                <c:formatCode>General</c:formatCode>
                <c:ptCount val="10"/>
                <c:pt idx="0">
                  <c:v>0.68065456890254938</c:v>
                </c:pt>
                <c:pt idx="1">
                  <c:v>0.53955204098395315</c:v>
                </c:pt>
                <c:pt idx="2">
                  <c:v>0.63668153368853253</c:v>
                </c:pt>
                <c:pt idx="3">
                  <c:v>0.75683230186822725</c:v>
                </c:pt>
                <c:pt idx="4">
                  <c:v>0.87918239037718504</c:v>
                </c:pt>
                <c:pt idx="5">
                  <c:v>0.99975973144257901</c:v>
                </c:pt>
                <c:pt idx="6">
                  <c:v>1.1196575294393909</c:v>
                </c:pt>
                <c:pt idx="7">
                  <c:v>1.2375538460238671</c:v>
                </c:pt>
                <c:pt idx="8">
                  <c:v>1.3538152334281299</c:v>
                </c:pt>
                <c:pt idx="9">
                  <c:v>1.4687516031854224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736-4E9C-80CC-1C8E4977AC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432512"/>
        <c:axId val="76434048"/>
      </c:scatterChart>
      <c:valAx>
        <c:axId val="76432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6434048"/>
        <c:crosses val="autoZero"/>
        <c:crossBetween val="midCat"/>
      </c:valAx>
      <c:valAx>
        <c:axId val="764340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6432512"/>
        <c:crosses val="autoZero"/>
        <c:crossBetween val="midCat"/>
      </c:valAx>
      <c:spPr>
        <a:pattFill prst="dotGrid">
          <a:fgClr>
            <a:schemeClr val="accent1"/>
          </a:fgClr>
          <a:bgClr>
            <a:schemeClr val="bg1"/>
          </a:bgClr>
        </a:pattFill>
      </c:spPr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266700</xdr:colOff>
      <xdr:row>14</xdr:row>
      <xdr:rowOff>166686</xdr:rowOff>
    </xdr:from>
    <xdr:to>
      <xdr:col>18</xdr:col>
      <xdr:colOff>590550</xdr:colOff>
      <xdr:row>28</xdr:row>
      <xdr:rowOff>19049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4</xdr:row>
      <xdr:rowOff>0</xdr:rowOff>
    </xdr:from>
    <xdr:to>
      <xdr:col>5</xdr:col>
      <xdr:colOff>0</xdr:colOff>
      <xdr:row>6</xdr:row>
      <xdr:rowOff>9525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47850" y="762000"/>
          <a:ext cx="1200150" cy="390525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MIXER</a:t>
          </a:r>
        </a:p>
      </xdr:txBody>
    </xdr:sp>
    <xdr:clientData/>
  </xdr:twoCellAnchor>
  <xdr:twoCellAnchor>
    <xdr:from>
      <xdr:col>6</xdr:col>
      <xdr:colOff>19050</xdr:colOff>
      <xdr:row>4</xdr:row>
      <xdr:rowOff>19050</xdr:rowOff>
    </xdr:from>
    <xdr:to>
      <xdr:col>8</xdr:col>
      <xdr:colOff>0</xdr:colOff>
      <xdr:row>5</xdr:row>
      <xdr:rowOff>180975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3676650" y="781050"/>
          <a:ext cx="1200150" cy="3524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REACTOR</a:t>
          </a:r>
        </a:p>
      </xdr:txBody>
    </xdr:sp>
    <xdr:clientData/>
  </xdr:twoCellAnchor>
  <xdr:twoCellAnchor>
    <xdr:from>
      <xdr:col>9</xdr:col>
      <xdr:colOff>9525</xdr:colOff>
      <xdr:row>2</xdr:row>
      <xdr:rowOff>38100</xdr:rowOff>
    </xdr:from>
    <xdr:to>
      <xdr:col>9</xdr:col>
      <xdr:colOff>600075</xdr:colOff>
      <xdr:row>7</xdr:row>
      <xdr:rowOff>171450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5734050" y="419100"/>
          <a:ext cx="590550" cy="1085850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SEPARATOR</a:t>
          </a:r>
        </a:p>
      </xdr:txBody>
    </xdr:sp>
    <xdr:clientData/>
  </xdr:twoCellAnchor>
  <xdr:twoCellAnchor>
    <xdr:from>
      <xdr:col>1</xdr:col>
      <xdr:colOff>600075</xdr:colOff>
      <xdr:row>5</xdr:row>
      <xdr:rowOff>0</xdr:rowOff>
    </xdr:from>
    <xdr:to>
      <xdr:col>3</xdr:col>
      <xdr:colOff>19050</xdr:colOff>
      <xdr:row>5</xdr:row>
      <xdr:rowOff>4763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CxnSpPr>
          <a:endCxn id="6" idx="1"/>
        </xdr:cNvCxnSpPr>
      </xdr:nvCxnSpPr>
      <xdr:spPr>
        <a:xfrm>
          <a:off x="1209675" y="952500"/>
          <a:ext cx="638175" cy="476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5</xdr:row>
      <xdr:rowOff>4763</xdr:rowOff>
    </xdr:from>
    <xdr:to>
      <xdr:col>6</xdr:col>
      <xdr:colOff>19050</xdr:colOff>
      <xdr:row>5</xdr:row>
      <xdr:rowOff>4763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CxnSpPr>
          <a:stCxn id="6" idx="3"/>
          <a:endCxn id="7" idx="1"/>
        </xdr:cNvCxnSpPr>
      </xdr:nvCxnSpPr>
      <xdr:spPr>
        <a:xfrm>
          <a:off x="3048000" y="957263"/>
          <a:ext cx="62865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5</xdr:row>
      <xdr:rowOff>4763</xdr:rowOff>
    </xdr:from>
    <xdr:to>
      <xdr:col>9</xdr:col>
      <xdr:colOff>9525</xdr:colOff>
      <xdr:row>5</xdr:row>
      <xdr:rowOff>9525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CxnSpPr>
          <a:stCxn id="7" idx="3"/>
          <a:endCxn id="8" idx="1"/>
        </xdr:cNvCxnSpPr>
      </xdr:nvCxnSpPr>
      <xdr:spPr>
        <a:xfrm>
          <a:off x="5114925" y="957263"/>
          <a:ext cx="619125" cy="476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15876</xdr:colOff>
      <xdr:row>2</xdr:row>
      <xdr:rowOff>38099</xdr:rowOff>
    </xdr:from>
    <xdr:to>
      <xdr:col>9</xdr:col>
      <xdr:colOff>304800</xdr:colOff>
      <xdr:row>3</xdr:row>
      <xdr:rowOff>146048</xdr:rowOff>
    </xdr:to>
    <xdr:cxnSp macro="">
      <xdr:nvCxnSpPr>
        <xdr:cNvPr id="18" name="Elbow Connector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CxnSpPr>
          <a:stCxn id="8" idx="0"/>
        </xdr:cNvCxnSpPr>
      </xdr:nvCxnSpPr>
      <xdr:spPr>
        <a:xfrm rot="16200000" flipH="1" flipV="1">
          <a:off x="4211638" y="-1100138"/>
          <a:ext cx="298449" cy="3336924"/>
        </a:xfrm>
        <a:prstGeom prst="bentConnector4">
          <a:avLst>
            <a:gd name="adj1" fmla="val -76596"/>
            <a:gd name="adj2" fmla="val 10038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304800</xdr:colOff>
      <xdr:row>7</xdr:row>
      <xdr:rowOff>171450</xdr:rowOff>
    </xdr:from>
    <xdr:to>
      <xdr:col>9</xdr:col>
      <xdr:colOff>314325</xdr:colOff>
      <xdr:row>9</xdr:row>
      <xdr:rowOff>38100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CxnSpPr>
          <a:stCxn id="8" idx="2"/>
        </xdr:cNvCxnSpPr>
      </xdr:nvCxnSpPr>
      <xdr:spPr>
        <a:xfrm>
          <a:off x="6029325" y="1504950"/>
          <a:ext cx="9525" cy="2476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190500</xdr:colOff>
      <xdr:row>4</xdr:row>
      <xdr:rowOff>85725</xdr:rowOff>
    </xdr:from>
    <xdr:ext cx="256160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 txBox="1"/>
      </xdr:nvSpPr>
      <xdr:spPr>
        <a:xfrm>
          <a:off x="1409700" y="847725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1</a:t>
          </a:r>
        </a:p>
      </xdr:txBody>
    </xdr:sp>
    <xdr:clientData/>
  </xdr:oneCellAnchor>
  <xdr:oneCellAnchor>
    <xdr:from>
      <xdr:col>5</xdr:col>
      <xdr:colOff>323850</xdr:colOff>
      <xdr:row>4</xdr:row>
      <xdr:rowOff>180975</xdr:rowOff>
    </xdr:from>
    <xdr:ext cx="256160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 txBox="1"/>
      </xdr:nvSpPr>
      <xdr:spPr>
        <a:xfrm>
          <a:off x="3371850" y="942975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2</a:t>
          </a:r>
        </a:p>
      </xdr:txBody>
    </xdr:sp>
    <xdr:clientData/>
  </xdr:oneCellAnchor>
  <xdr:oneCellAnchor>
    <xdr:from>
      <xdr:col>8</xdr:col>
      <xdr:colOff>323850</xdr:colOff>
      <xdr:row>5</xdr:row>
      <xdr:rowOff>9525</xdr:rowOff>
    </xdr:from>
    <xdr:ext cx="256160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 txBox="1"/>
      </xdr:nvSpPr>
      <xdr:spPr>
        <a:xfrm>
          <a:off x="5200650" y="962025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4</a:t>
          </a:r>
        </a:p>
      </xdr:txBody>
    </xdr:sp>
    <xdr:clientData/>
  </xdr:oneCellAnchor>
  <xdr:oneCellAnchor>
    <xdr:from>
      <xdr:col>9</xdr:col>
      <xdr:colOff>304800</xdr:colOff>
      <xdr:row>8</xdr:row>
      <xdr:rowOff>152400</xdr:rowOff>
    </xdr:from>
    <xdr:ext cx="256160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 txBox="1"/>
      </xdr:nvSpPr>
      <xdr:spPr>
        <a:xfrm>
          <a:off x="5791200" y="1676400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5</a:t>
          </a:r>
        </a:p>
      </xdr:txBody>
    </xdr:sp>
    <xdr:clientData/>
  </xdr:oneCellAnchor>
  <xdr:oneCellAnchor>
    <xdr:from>
      <xdr:col>6</xdr:col>
      <xdr:colOff>133350</xdr:colOff>
      <xdr:row>0</xdr:row>
      <xdr:rowOff>180975</xdr:rowOff>
    </xdr:from>
    <xdr:ext cx="256160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 txBox="1"/>
      </xdr:nvSpPr>
      <xdr:spPr>
        <a:xfrm>
          <a:off x="4029075" y="180975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6</a:t>
          </a:r>
        </a:p>
      </xdr:txBody>
    </xdr:sp>
    <xdr:clientData/>
  </xdr:oneCellAnchor>
  <xdr:oneCellAnchor>
    <xdr:from>
      <xdr:col>7</xdr:col>
      <xdr:colOff>38100</xdr:colOff>
      <xdr:row>6</xdr:row>
      <xdr:rowOff>38100</xdr:rowOff>
    </xdr:from>
    <xdr:ext cx="256160" cy="32171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 txBox="1"/>
      </xdr:nvSpPr>
      <xdr:spPr>
        <a:xfrm>
          <a:off x="4543425" y="1181100"/>
          <a:ext cx="256160" cy="3217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100"/>
            <a:t>3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16"/>
  <sheetViews>
    <sheetView tabSelected="1" zoomScale="57" zoomScaleNormal="47" workbookViewId="0">
      <selection activeCell="H25" sqref="H25"/>
    </sheetView>
  </sheetViews>
  <sheetFormatPr defaultRowHeight="14.4" x14ac:dyDescent="0.3"/>
  <sheetData>
    <row r="2" spans="2:19" x14ac:dyDescent="0.3">
      <c r="D2" s="1" t="s">
        <v>0</v>
      </c>
      <c r="E2" s="2"/>
      <c r="F2" s="3"/>
    </row>
    <row r="3" spans="2:19" x14ac:dyDescent="0.3">
      <c r="D3" s="4" t="s">
        <v>1</v>
      </c>
      <c r="E3" s="5"/>
      <c r="F3" s="6"/>
      <c r="M3" s="18" t="s">
        <v>21</v>
      </c>
      <c r="N3" s="18"/>
      <c r="O3" s="18"/>
      <c r="P3" s="18"/>
      <c r="Q3" s="18"/>
      <c r="R3" s="18"/>
      <c r="S3" s="18"/>
    </row>
    <row r="4" spans="2:19" x14ac:dyDescent="0.3">
      <c r="M4" s="7" t="s">
        <v>10</v>
      </c>
      <c r="N4" s="7" t="s">
        <v>12</v>
      </c>
      <c r="O4" s="7" t="s">
        <v>14</v>
      </c>
      <c r="P4" s="7" t="s">
        <v>15</v>
      </c>
      <c r="Q4" s="7" t="s">
        <v>22</v>
      </c>
      <c r="R4" s="7" t="s">
        <v>49</v>
      </c>
      <c r="S4" s="7" t="s">
        <v>20</v>
      </c>
    </row>
    <row r="5" spans="2:19" x14ac:dyDescent="0.3">
      <c r="B5" s="19" t="s">
        <v>19</v>
      </c>
      <c r="C5" s="20"/>
      <c r="D5" s="20"/>
      <c r="E5" s="21"/>
      <c r="G5" s="19" t="s">
        <v>8</v>
      </c>
      <c r="H5" s="20"/>
      <c r="I5" s="21"/>
      <c r="M5" s="7">
        <v>50</v>
      </c>
      <c r="N5" s="7">
        <f>$H$6/$C$6</f>
        <v>1.175917215428034</v>
      </c>
      <c r="O5" s="7">
        <f>0.42748*($C$8^2*$C$6^2/$C$7)*($C$6/$H$6)^0.5</f>
        <v>12.798105788745119</v>
      </c>
      <c r="P5" s="7">
        <f>0.08664*($C$8*$C$6/$C$7)</f>
        <v>8.0614273484799992E-2</v>
      </c>
      <c r="Q5" s="7">
        <f>M5*R5^3-$C$8*$H$6*R5^2+(O5-M5*P5^2-$C$8*$H$6*P5)*R5-O5*P5</f>
        <v>-2.3698302215935385E-5</v>
      </c>
      <c r="R5" s="7">
        <v>0.55854513924143201</v>
      </c>
      <c r="S5" s="7">
        <f>M5*R5/($C$8*$H$6)</f>
        <v>0.68065456890254938</v>
      </c>
    </row>
    <row r="6" spans="2:19" x14ac:dyDescent="0.3">
      <c r="B6" s="7" t="s">
        <v>2</v>
      </c>
      <c r="C6" s="7">
        <v>425.2</v>
      </c>
      <c r="D6" s="19" t="s">
        <v>3</v>
      </c>
      <c r="E6" s="21"/>
      <c r="G6" s="7" t="s">
        <v>9</v>
      </c>
      <c r="H6" s="7">
        <v>500</v>
      </c>
      <c r="I6" s="7" t="s">
        <v>3</v>
      </c>
      <c r="M6" s="7">
        <v>100</v>
      </c>
      <c r="N6" s="7">
        <f t="shared" ref="N6:N14" si="0">$H$6/$C$6</f>
        <v>1.175917215428034</v>
      </c>
      <c r="O6" s="7">
        <f t="shared" ref="O6:O14" si="1">0.42748*($C$8^2*$C$6^2/$C$7)*($C$6/$H$6)^0.5</f>
        <v>12.798105788745119</v>
      </c>
      <c r="P6" s="7">
        <f t="shared" ref="P6:P14" si="2">0.08664*($C$8*$C$6/$C$7)</f>
        <v>8.0614273484799992E-2</v>
      </c>
      <c r="Q6" s="7">
        <f>M6*R6^3-$C$8*$H$6*R6^2+(O6-M6*P6^2-$C$8*$H$6*P6)*R6-O6*P6</f>
        <v>-4.5965960830973707E-4</v>
      </c>
      <c r="R6" s="7">
        <v>0.22137820241571593</v>
      </c>
      <c r="S6" s="7">
        <f t="shared" ref="S6:S14" si="3">M6*R6/($C$8*$H$6)</f>
        <v>0.53955204098395315</v>
      </c>
    </row>
    <row r="7" spans="2:19" x14ac:dyDescent="0.3">
      <c r="B7" s="7" t="s">
        <v>4</v>
      </c>
      <c r="C7" s="7">
        <v>37.5</v>
      </c>
      <c r="D7" s="19" t="s">
        <v>5</v>
      </c>
      <c r="E7" s="21"/>
      <c r="G7" s="7" t="s">
        <v>10</v>
      </c>
      <c r="H7" s="7">
        <v>18</v>
      </c>
      <c r="I7" s="7" t="s">
        <v>5</v>
      </c>
      <c r="M7" s="7">
        <v>150</v>
      </c>
      <c r="N7" s="7">
        <f t="shared" si="0"/>
        <v>1.175917215428034</v>
      </c>
      <c r="O7" s="7">
        <f t="shared" si="1"/>
        <v>12.798105788745119</v>
      </c>
      <c r="P7" s="7">
        <f t="shared" si="2"/>
        <v>8.0614273484799992E-2</v>
      </c>
      <c r="Q7" s="7">
        <f t="shared" ref="Q7:Q14" si="4">M7*R7^3-$C$8*$H$6*R7^2+(O7-M7*P7^2-$C$8*$H$6*P7)*R7-O7*P7</f>
        <v>-7.8978568163523555E-4</v>
      </c>
      <c r="R7" s="7">
        <v>0.17415362218160324</v>
      </c>
      <c r="S7" s="7">
        <f t="shared" si="3"/>
        <v>0.63668153368853253</v>
      </c>
    </row>
    <row r="8" spans="2:19" x14ac:dyDescent="0.3">
      <c r="B8" s="7" t="s">
        <v>6</v>
      </c>
      <c r="C8" s="7">
        <v>8.2059999999999994E-2</v>
      </c>
      <c r="D8" s="7" t="s">
        <v>7</v>
      </c>
      <c r="E8" s="7"/>
      <c r="M8" s="7">
        <v>200</v>
      </c>
      <c r="N8" s="7">
        <f t="shared" si="0"/>
        <v>1.175917215428034</v>
      </c>
      <c r="O8" s="7">
        <f t="shared" si="1"/>
        <v>12.798105788745119</v>
      </c>
      <c r="P8" s="7">
        <f t="shared" si="2"/>
        <v>8.0614273484799992E-2</v>
      </c>
      <c r="Q8" s="7">
        <f t="shared" si="4"/>
        <v>-4.9630252673105169E-4</v>
      </c>
      <c r="R8" s="7">
        <v>0.1552641467282668</v>
      </c>
      <c r="S8" s="7">
        <f t="shared" si="3"/>
        <v>0.75683230186822725</v>
      </c>
    </row>
    <row r="9" spans="2:19" x14ac:dyDescent="0.3">
      <c r="M9" s="7">
        <v>250</v>
      </c>
      <c r="N9" s="7">
        <f t="shared" si="0"/>
        <v>1.175917215428034</v>
      </c>
      <c r="O9" s="7">
        <f t="shared" si="1"/>
        <v>12.798105788745119</v>
      </c>
      <c r="P9" s="7">
        <f t="shared" si="2"/>
        <v>8.0614273484799992E-2</v>
      </c>
      <c r="Q9" s="7">
        <f t="shared" si="4"/>
        <v>5.4873445635816864E-5</v>
      </c>
      <c r="R9" s="7">
        <v>0.14429141390870359</v>
      </c>
      <c r="S9" s="7">
        <f t="shared" si="3"/>
        <v>0.87918239037718504</v>
      </c>
    </row>
    <row r="10" spans="2:19" x14ac:dyDescent="0.3">
      <c r="B10" s="7" t="s">
        <v>18</v>
      </c>
      <c r="C10" s="19" t="s">
        <v>11</v>
      </c>
      <c r="D10" s="20"/>
      <c r="E10" s="20"/>
      <c r="F10" s="20"/>
      <c r="G10" s="20"/>
      <c r="H10" s="20"/>
      <c r="I10" s="21"/>
      <c r="J10" s="7" t="s">
        <v>13</v>
      </c>
      <c r="M10" s="7">
        <v>300</v>
      </c>
      <c r="N10" s="7">
        <f t="shared" si="0"/>
        <v>1.175917215428034</v>
      </c>
      <c r="O10" s="7">
        <f t="shared" si="1"/>
        <v>12.798105788745119</v>
      </c>
      <c r="P10" s="7">
        <f t="shared" si="2"/>
        <v>8.0614273484799992E-2</v>
      </c>
      <c r="Q10" s="7">
        <f t="shared" si="4"/>
        <v>-7.9783109477715719E-4</v>
      </c>
      <c r="R10" s="7">
        <v>0.13673380593696335</v>
      </c>
      <c r="S10" s="7">
        <f t="shared" si="3"/>
        <v>0.99975973144257901</v>
      </c>
    </row>
    <row r="11" spans="2:19" x14ac:dyDescent="0.3">
      <c r="B11" s="7" t="s">
        <v>12</v>
      </c>
      <c r="C11" s="22">
        <f>H6/C6</f>
        <v>1.175917215428034</v>
      </c>
      <c r="D11" s="23"/>
      <c r="E11" s="23"/>
      <c r="F11" s="23"/>
      <c r="G11" s="23"/>
      <c r="H11" s="23"/>
      <c r="I11" s="24"/>
      <c r="J11" s="7"/>
      <c r="M11" s="7">
        <v>350</v>
      </c>
      <c r="N11" s="7">
        <f t="shared" si="0"/>
        <v>1.175917215428034</v>
      </c>
      <c r="O11" s="7">
        <f t="shared" si="1"/>
        <v>12.798105788745119</v>
      </c>
      <c r="P11" s="7">
        <f t="shared" si="2"/>
        <v>8.0614273484799992E-2</v>
      </c>
      <c r="Q11" s="7">
        <f t="shared" si="4"/>
        <v>1.0581358746986069E-5</v>
      </c>
      <c r="R11" s="7">
        <v>0.13125585266542342</v>
      </c>
      <c r="S11" s="7">
        <f t="shared" si="3"/>
        <v>1.1196575294393909</v>
      </c>
    </row>
    <row r="12" spans="2:19" x14ac:dyDescent="0.3">
      <c r="B12" s="7" t="s">
        <v>14</v>
      </c>
      <c r="C12" s="22">
        <f>O5:O14</f>
        <v>12.798105788745119</v>
      </c>
      <c r="D12" s="23"/>
      <c r="E12" s="23"/>
      <c r="F12" s="23"/>
      <c r="G12" s="23"/>
      <c r="H12" s="23"/>
      <c r="I12" s="24"/>
      <c r="J12" s="7"/>
      <c r="M12" s="7">
        <v>400</v>
      </c>
      <c r="N12" s="7">
        <f t="shared" si="0"/>
        <v>1.175917215428034</v>
      </c>
      <c r="O12" s="7">
        <f t="shared" si="1"/>
        <v>12.798105788745119</v>
      </c>
      <c r="P12" s="7">
        <f t="shared" si="2"/>
        <v>8.0614273484799992E-2</v>
      </c>
      <c r="Q12" s="7">
        <f t="shared" si="4"/>
        <v>1.1604512294716152E-4</v>
      </c>
      <c r="R12" s="7">
        <v>0.12694208575589816</v>
      </c>
      <c r="S12" s="7">
        <f t="shared" si="3"/>
        <v>1.2375538460238671</v>
      </c>
    </row>
    <row r="13" spans="2:19" x14ac:dyDescent="0.3">
      <c r="B13" s="7" t="s">
        <v>15</v>
      </c>
      <c r="C13" s="22">
        <f>0.08664*(C8*C6/C7)</f>
        <v>8.0614273484799992E-2</v>
      </c>
      <c r="D13" s="23"/>
      <c r="E13" s="23"/>
      <c r="F13" s="23"/>
      <c r="G13" s="23"/>
      <c r="H13" s="23"/>
      <c r="I13" s="24"/>
      <c r="J13" s="7"/>
      <c r="M13" s="7">
        <v>450</v>
      </c>
      <c r="N13" s="7">
        <f t="shared" si="0"/>
        <v>1.175917215428034</v>
      </c>
      <c r="O13" s="7">
        <f t="shared" si="1"/>
        <v>12.798105788745119</v>
      </c>
      <c r="P13" s="7">
        <f t="shared" si="2"/>
        <v>8.0614273484799992E-2</v>
      </c>
      <c r="Q13" s="7">
        <f t="shared" si="4"/>
        <v>-9.2983345429953346E-6</v>
      </c>
      <c r="R13" s="7">
        <v>0.12343786450568035</v>
      </c>
      <c r="S13" s="7">
        <f t="shared" si="3"/>
        <v>1.3538152334281299</v>
      </c>
    </row>
    <row r="14" spans="2:19" x14ac:dyDescent="0.3">
      <c r="B14" s="7" t="s">
        <v>16</v>
      </c>
      <c r="C14" s="22">
        <f>H7*J14^3-C8*H6*J14^2+(C12-H7*C13^2-C8*H6*C13)*J14-C12*C13</f>
        <v>6.5394533821372391E-6</v>
      </c>
      <c r="D14" s="23"/>
      <c r="E14" s="23"/>
      <c r="F14" s="23"/>
      <c r="G14" s="23"/>
      <c r="H14" s="23"/>
      <c r="I14" s="24"/>
      <c r="J14" s="7">
        <v>2.0376888191403388</v>
      </c>
      <c r="M14" s="7">
        <v>500</v>
      </c>
      <c r="N14" s="7">
        <f t="shared" si="0"/>
        <v>1.175917215428034</v>
      </c>
      <c r="O14" s="7">
        <f t="shared" si="1"/>
        <v>12.798105788745119</v>
      </c>
      <c r="P14" s="7">
        <f t="shared" si="2"/>
        <v>8.0614273484799992E-2</v>
      </c>
      <c r="Q14" s="7">
        <f t="shared" si="4"/>
        <v>-1.0247248042927204E-4</v>
      </c>
      <c r="R14" s="7">
        <v>0.12052575655739574</v>
      </c>
      <c r="S14" s="7">
        <f t="shared" si="3"/>
        <v>1.4687516031854224</v>
      </c>
    </row>
    <row r="15" spans="2:19" x14ac:dyDescent="0.3">
      <c r="B15" s="22" t="s">
        <v>17</v>
      </c>
      <c r="C15" s="23"/>
      <c r="D15" s="24"/>
      <c r="E15" s="22">
        <f>H6*C8/H7</f>
        <v>2.2794444444444442</v>
      </c>
      <c r="F15" s="23"/>
      <c r="G15" s="23"/>
      <c r="H15" s="23"/>
      <c r="I15" s="24"/>
      <c r="J15" s="7"/>
    </row>
    <row r="16" spans="2:19" x14ac:dyDescent="0.3">
      <c r="B16" s="8" t="s">
        <v>20</v>
      </c>
      <c r="C16" s="8"/>
      <c r="D16" s="8"/>
      <c r="E16" s="8"/>
      <c r="F16" s="8"/>
      <c r="G16" s="8"/>
      <c r="H16" s="8"/>
      <c r="I16" s="8"/>
      <c r="J16" s="8">
        <f>H7*J14/(C8*H6)</f>
        <v>0.89394098816783096</v>
      </c>
    </row>
  </sheetData>
  <dataConsolidate/>
  <mergeCells count="12">
    <mergeCell ref="C11:I11"/>
    <mergeCell ref="C12:I12"/>
    <mergeCell ref="C10:I10"/>
    <mergeCell ref="B15:D15"/>
    <mergeCell ref="C13:I13"/>
    <mergeCell ref="C14:I14"/>
    <mergeCell ref="E15:I15"/>
    <mergeCell ref="M3:S3"/>
    <mergeCell ref="G5:I5"/>
    <mergeCell ref="B5:E5"/>
    <mergeCell ref="D6:E6"/>
    <mergeCell ref="D7:E7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 xr2:uid="{00000000-0003-0000-0000-000000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RK!S5:S5</xm:f>
              <xm:sqref>T5</xm:sqref>
            </x14:sparkline>
            <x14:sparkline>
              <xm:f>RK!S6:S6</xm:f>
              <xm:sqref>T6</xm:sqref>
            </x14:sparkline>
            <x14:sparkline>
              <xm:f>RK!S7:S7</xm:f>
              <xm:sqref>T7</xm:sqref>
            </x14:sparkline>
            <x14:sparkline>
              <xm:f>RK!S8:S8</xm:f>
              <xm:sqref>T8</xm:sqref>
            </x14:sparkline>
            <x14:sparkline>
              <xm:f>RK!S9:S9</xm:f>
              <xm:sqref>T9</xm:sqref>
            </x14:sparkline>
            <x14:sparkline>
              <xm:f>RK!S10:S10</xm:f>
              <xm:sqref>T10</xm:sqref>
            </x14:sparkline>
            <x14:sparkline>
              <xm:f>RK!S11:S11</xm:f>
              <xm:sqref>T11</xm:sqref>
            </x14:sparkline>
            <x14:sparkline>
              <xm:f>RK!S12:S12</xm:f>
              <xm:sqref>T12</xm:sqref>
            </x14:sparkline>
            <x14:sparkline>
              <xm:f>RK!S13:S13</xm:f>
              <xm:sqref>T13</xm:sqref>
            </x14:sparkline>
            <x14:sparkline>
              <xm:f>RK!S14:S14</xm:f>
              <xm:sqref>T14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3"/>
  <sheetViews>
    <sheetView workbookViewId="0">
      <selection activeCell="C3" sqref="C3"/>
    </sheetView>
  </sheetViews>
  <sheetFormatPr defaultRowHeight="14.4" x14ac:dyDescent="0.3"/>
  <sheetData>
    <row r="3" spans="3:3" x14ac:dyDescent="0.3">
      <c r="C3">
        <f>B1*B1-2*B1+1</f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N34"/>
  <sheetViews>
    <sheetView topLeftCell="A13" zoomScale="90" zoomScaleNormal="90" workbookViewId="0">
      <selection activeCell="K26" sqref="K26"/>
    </sheetView>
  </sheetViews>
  <sheetFormatPr defaultRowHeight="14.4" x14ac:dyDescent="0.3"/>
  <cols>
    <col min="1" max="1" width="12.6640625" bestFit="1" customWidth="1"/>
    <col min="3" max="3" width="12.88671875" customWidth="1"/>
  </cols>
  <sheetData>
    <row r="2" spans="1:14" x14ac:dyDescent="0.3">
      <c r="M2" t="s">
        <v>33</v>
      </c>
    </row>
    <row r="3" spans="1:14" x14ac:dyDescent="0.3">
      <c r="M3" t="s">
        <v>28</v>
      </c>
      <c r="N3" s="9">
        <v>4.3750000000000004E-2</v>
      </c>
    </row>
    <row r="4" spans="1:14" x14ac:dyDescent="0.3">
      <c r="M4" t="s">
        <v>29</v>
      </c>
    </row>
    <row r="5" spans="1:14" x14ac:dyDescent="0.3">
      <c r="M5" t="s">
        <v>30</v>
      </c>
    </row>
    <row r="6" spans="1:14" x14ac:dyDescent="0.3">
      <c r="M6" t="s">
        <v>31</v>
      </c>
    </row>
    <row r="11" spans="1:14" x14ac:dyDescent="0.3">
      <c r="A11" s="12" t="s">
        <v>23</v>
      </c>
      <c r="B11" s="13">
        <v>1</v>
      </c>
      <c r="C11" s="13">
        <v>2</v>
      </c>
      <c r="D11" s="13">
        <v>3</v>
      </c>
      <c r="E11" s="13">
        <v>4</v>
      </c>
      <c r="F11" s="13">
        <v>5</v>
      </c>
      <c r="G11" s="14">
        <v>6</v>
      </c>
    </row>
    <row r="12" spans="1:14" x14ac:dyDescent="0.3">
      <c r="A12" s="10" t="s">
        <v>24</v>
      </c>
      <c r="B12">
        <v>300</v>
      </c>
      <c r="C12">
        <f ca="1">B12+G12</f>
        <v>1182.2660098522165</v>
      </c>
      <c r="D12">
        <f ca="1">-0.25*C12</f>
        <v>-295.56650246305412</v>
      </c>
      <c r="E12">
        <f ca="1">C12+D12</f>
        <v>886.69950738916236</v>
      </c>
      <c r="F12">
        <f ca="1">0.005*E12</f>
        <v>4.4334975369458123</v>
      </c>
      <c r="G12" s="11">
        <f ca="1">E12-F12</f>
        <v>882.2660098522166</v>
      </c>
    </row>
    <row r="13" spans="1:14" x14ac:dyDescent="0.3">
      <c r="A13" s="10" t="s">
        <v>26</v>
      </c>
      <c r="B13">
        <v>100</v>
      </c>
      <c r="C13">
        <f ca="1">B13+G13</f>
        <v>394.08866995073885</v>
      </c>
      <c r="D13">
        <f ca="1">-0.25*C13</f>
        <v>-98.522167487684712</v>
      </c>
      <c r="E13">
        <f ca="1">C13+D13</f>
        <v>295.56650246305412</v>
      </c>
      <c r="F13">
        <f ca="1">0.005*E13</f>
        <v>1.4778325123152707</v>
      </c>
      <c r="G13" s="11">
        <f ca="1">E13-F13</f>
        <v>294.08866995073885</v>
      </c>
    </row>
    <row r="14" spans="1:14" x14ac:dyDescent="0.3">
      <c r="A14" s="10" t="s">
        <v>25</v>
      </c>
      <c r="B14">
        <v>0</v>
      </c>
      <c r="C14">
        <f ca="1">G14</f>
        <v>4.0213129586810226</v>
      </c>
      <c r="D14">
        <f ca="1">2*-D13</f>
        <v>197.04433497536942</v>
      </c>
      <c r="E14">
        <f ca="1">C14+D14</f>
        <v>201.06564793405045</v>
      </c>
      <c r="F14">
        <f ca="1">0.98*E14</f>
        <v>197.04433497536942</v>
      </c>
      <c r="G14" s="11">
        <f ca="1">E14-F14</f>
        <v>4.0213129586810226</v>
      </c>
    </row>
    <row r="15" spans="1:14" x14ac:dyDescent="0.3">
      <c r="A15" s="15" t="s">
        <v>27</v>
      </c>
      <c r="B15" s="8">
        <f>SUM(B12:B14)</f>
        <v>400</v>
      </c>
      <c r="C15" s="8">
        <f ca="1">SUM(C12:C14)</f>
        <v>1580.3759927616363</v>
      </c>
      <c r="D15" s="8"/>
      <c r="E15" s="8">
        <f ca="1">SUM(E12:E14)</f>
        <v>1383.331657786267</v>
      </c>
      <c r="F15" s="8">
        <f ca="1">SUM(F12:F14)</f>
        <v>202.95566502463052</v>
      </c>
      <c r="G15" s="16"/>
    </row>
    <row r="16" spans="1:14" ht="17.25" customHeight="1" x14ac:dyDescent="0.3"/>
    <row r="19" spans="2:14" x14ac:dyDescent="0.3">
      <c r="B19" t="s">
        <v>32</v>
      </c>
      <c r="C19" t="s">
        <v>34</v>
      </c>
    </row>
    <row r="20" spans="2:14" x14ac:dyDescent="0.3">
      <c r="C20" t="s">
        <v>36</v>
      </c>
      <c r="F20" t="s">
        <v>38</v>
      </c>
      <c r="J20" t="s">
        <v>37</v>
      </c>
      <c r="K20" t="s">
        <v>39</v>
      </c>
      <c r="N20" t="s">
        <v>40</v>
      </c>
    </row>
    <row r="21" spans="2:14" x14ac:dyDescent="0.3">
      <c r="B21" t="s">
        <v>10</v>
      </c>
      <c r="C21">
        <v>220</v>
      </c>
      <c r="D21">
        <v>0.05</v>
      </c>
      <c r="E21" t="s">
        <v>42</v>
      </c>
      <c r="G21" t="s">
        <v>41</v>
      </c>
      <c r="H21">
        <v>0.74030588500101147</v>
      </c>
    </row>
    <row r="23" spans="2:14" x14ac:dyDescent="0.3">
      <c r="C23" s="17" t="s">
        <v>23</v>
      </c>
      <c r="D23" s="17">
        <v>1</v>
      </c>
      <c r="E23" s="17">
        <v>2</v>
      </c>
      <c r="F23" s="17">
        <v>3</v>
      </c>
      <c r="G23" s="17">
        <v>4</v>
      </c>
      <c r="H23" s="17">
        <v>5</v>
      </c>
      <c r="I23" s="17">
        <v>6</v>
      </c>
      <c r="J23" s="7" t="s">
        <v>43</v>
      </c>
    </row>
    <row r="24" spans="2:14" x14ac:dyDescent="0.3">
      <c r="C24" s="7" t="s">
        <v>24</v>
      </c>
      <c r="D24" s="7">
        <v>300</v>
      </c>
      <c r="E24" s="7">
        <f ca="1">D24+I24</f>
        <v>404.52836845461763</v>
      </c>
      <c r="F24" s="7">
        <f ca="1">-H21*E24</f>
        <v>-299.47473181681096</v>
      </c>
      <c r="G24" s="7">
        <f ca="1">E24+F24</f>
        <v>105.05363663780668</v>
      </c>
      <c r="H24" s="7">
        <f ca="1">0.005*G24</f>
        <v>0.52526818318903334</v>
      </c>
      <c r="I24" s="7">
        <f ca="1">G24-H24</f>
        <v>104.52836845461765</v>
      </c>
      <c r="J24" s="7">
        <f ca="1">G24/G27</f>
        <v>0.30556984596018572</v>
      </c>
    </row>
    <row r="25" spans="2:14" x14ac:dyDescent="0.3">
      <c r="C25" s="7" t="s">
        <v>26</v>
      </c>
      <c r="D25" s="7">
        <v>100</v>
      </c>
      <c r="E25" s="7">
        <f ca="1">D25+I25</f>
        <v>134.84278948487255</v>
      </c>
      <c r="F25" s="7">
        <f ca="1">-H21*E25</f>
        <v>-99.824910605603662</v>
      </c>
      <c r="G25" s="7">
        <f ca="1">E25+F25</f>
        <v>35.017878879268892</v>
      </c>
      <c r="H25" s="7">
        <f ca="1">0.005*G25</f>
        <v>0.17508939439634447</v>
      </c>
      <c r="I25" s="7">
        <f ca="1">G25-H25</f>
        <v>34.842789484872547</v>
      </c>
      <c r="J25" s="7">
        <f ca="1">G25/G27</f>
        <v>0.10185661532006191</v>
      </c>
    </row>
    <row r="26" spans="2:14" x14ac:dyDescent="0.3">
      <c r="C26" s="7" t="s">
        <v>25</v>
      </c>
      <c r="D26" s="7">
        <v>0</v>
      </c>
      <c r="E26" s="7">
        <f ca="1">I26</f>
        <v>4.0744861471675051</v>
      </c>
      <c r="F26" s="7">
        <f ca="1">2*-F25</f>
        <v>199.64982121120732</v>
      </c>
      <c r="G26" s="7">
        <f ca="1">E26+F26</f>
        <v>203.72430735837483</v>
      </c>
      <c r="H26" s="7">
        <f ca="1">0.98*G26</f>
        <v>199.64982121120732</v>
      </c>
      <c r="I26" s="7">
        <f ca="1">G26-H26</f>
        <v>4.0744861471675051</v>
      </c>
      <c r="J26" s="7">
        <f ca="1">G26/G27</f>
        <v>0.59257353871975227</v>
      </c>
    </row>
    <row r="27" spans="2:14" x14ac:dyDescent="0.3">
      <c r="C27" s="7" t="s">
        <v>27</v>
      </c>
      <c r="D27" s="7">
        <f>SUM(D24:D26)</f>
        <v>400</v>
      </c>
      <c r="E27" s="7">
        <f ca="1">SUM(E24:E26)</f>
        <v>543.44564408665769</v>
      </c>
      <c r="F27" s="7"/>
      <c r="G27" s="7">
        <f ca="1">SUM(G24:G26)</f>
        <v>343.79582287545043</v>
      </c>
      <c r="H27" s="7">
        <f ca="1">SUM(H24:H26)</f>
        <v>200.3501787887927</v>
      </c>
      <c r="I27" s="7"/>
      <c r="J27" s="7">
        <f ca="1">SUM(J24:J26)</f>
        <v>0.99999999999999989</v>
      </c>
    </row>
    <row r="29" spans="2:14" x14ac:dyDescent="0.3">
      <c r="E29" t="s">
        <v>3</v>
      </c>
      <c r="F29">
        <f ca="1">D21-(1/C21)*J26/((J25^0.5)*(J24^(3/2)))</f>
        <v>3.5768692273806246E-5</v>
      </c>
    </row>
    <row r="31" spans="2:14" x14ac:dyDescent="0.3">
      <c r="B31" t="s">
        <v>44</v>
      </c>
      <c r="C31" t="s">
        <v>45</v>
      </c>
      <c r="G31" t="s">
        <v>3</v>
      </c>
      <c r="H31" t="s">
        <v>48</v>
      </c>
    </row>
    <row r="32" spans="2:14" x14ac:dyDescent="0.3">
      <c r="F32" t="s">
        <v>46</v>
      </c>
      <c r="G32">
        <v>4.8</v>
      </c>
    </row>
    <row r="33" spans="6:7" x14ac:dyDescent="0.3">
      <c r="F33" t="s">
        <v>35</v>
      </c>
      <c r="G33">
        <v>70</v>
      </c>
    </row>
    <row r="34" spans="6:7" x14ac:dyDescent="0.3">
      <c r="F34" t="s">
        <v>47</v>
      </c>
      <c r="G34">
        <v>5.0999999999999997E-2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RK</vt:lpstr>
      <vt:lpstr>Sheet1</vt:lpstr>
      <vt:lpstr>MASSB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sujan poojary</cp:lastModifiedBy>
  <dcterms:created xsi:type="dcterms:W3CDTF">2016-06-01T13:00:59Z</dcterms:created>
  <dcterms:modified xsi:type="dcterms:W3CDTF">2026-01-22T04:56:51Z</dcterms:modified>
</cp:coreProperties>
</file>